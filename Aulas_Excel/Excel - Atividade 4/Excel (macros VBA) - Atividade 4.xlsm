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bosch-my.sharepoint.com/personal/ami1jvl_bosch_com/Documents/ETS DTA JVL/DS1 - Entregas/Gabriel Reis/Excel - Atividade 4/"/>
    </mc:Choice>
  </mc:AlternateContent>
  <xr:revisionPtr revIDLastSave="435" documentId="8_{0D36737E-3D3E-4221-BA4F-9F0BE69F0EF6}" xr6:coauthVersionLast="47" xr6:coauthVersionMax="47" xr10:uidLastSave="{9F2E35F3-ACE6-4E56-9477-A2707F666AAE}"/>
  <bookViews>
    <workbookView xWindow="-120" yWindow="-120" windowWidth="29040" windowHeight="15840" activeTab="4" xr2:uid="{C21122A4-CD2B-4584-A2C5-1934CA48A5D8}"/>
  </bookViews>
  <sheets>
    <sheet name="Boletim escolar" sheetId="1" r:id="rId1"/>
    <sheet name="Macros codificadas" sheetId="2" r:id="rId2"/>
    <sheet name="Pesquisa" sheetId="3" r:id="rId3"/>
    <sheet name="Dados" sheetId="4" r:id="rId4"/>
    <sheet name="Controle" sheetId="5" r:id="rId5"/>
  </sheets>
  <definedNames>
    <definedName name="_xlnm._FilterDatabase" localSheetId="0" hidden="1">'Boletim escolar'!$A$2:$A$6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B10" i="1"/>
  <c r="B8" i="1"/>
  <c r="D2" i="1"/>
  <c r="E2" i="1" s="1"/>
  <c r="D3" i="1"/>
  <c r="B9" i="1" s="1"/>
  <c r="D4" i="1"/>
  <c r="E4" i="1" s="1"/>
  <c r="D5" i="1"/>
  <c r="E5" i="1" s="1"/>
  <c r="D6" i="1"/>
  <c r="E6" i="1" s="1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B1" i="3"/>
  <c r="C1" i="3"/>
  <c r="D1" i="3"/>
  <c r="E1" i="3"/>
  <c r="A1" i="3"/>
  <c r="B12" i="1" l="1"/>
  <c r="B11" i="1"/>
  <c r="E3" i="1"/>
</calcChain>
</file>

<file path=xl/sharedStrings.xml><?xml version="1.0" encoding="utf-8"?>
<sst xmlns="http://schemas.openxmlformats.org/spreadsheetml/2006/main" count="45" uniqueCount="40">
  <si>
    <t>Aluno</t>
  </si>
  <si>
    <t>Nota 1</t>
  </si>
  <si>
    <t>Nota 2</t>
  </si>
  <si>
    <t xml:space="preserve">Média </t>
  </si>
  <si>
    <t>Situação</t>
  </si>
  <si>
    <t>José da Silva</t>
  </si>
  <si>
    <t>Ana Souza</t>
  </si>
  <si>
    <t>Amanda Reis</t>
  </si>
  <si>
    <t>Anderson Faria</t>
  </si>
  <si>
    <t>Cleber Machado</t>
  </si>
  <si>
    <t>Maior média</t>
  </si>
  <si>
    <t>Menor média</t>
  </si>
  <si>
    <t>Quantidade aprovados</t>
  </si>
  <si>
    <t>Quantidade reprovados</t>
  </si>
  <si>
    <t>Quantidade em exame</t>
  </si>
  <si>
    <t>Valor pesquisado</t>
  </si>
  <si>
    <t>Encontrado</t>
  </si>
  <si>
    <t>Bosch</t>
  </si>
  <si>
    <t>DTA JVL</t>
  </si>
  <si>
    <t>Célula já preenchida</t>
  </si>
  <si>
    <t>Não encontrado</t>
  </si>
  <si>
    <t>Clique em F9 para atualizar a tabela</t>
  </si>
  <si>
    <t>Nome</t>
  </si>
  <si>
    <t>Telefone</t>
  </si>
  <si>
    <t>CPF</t>
  </si>
  <si>
    <t>Rogeria</t>
  </si>
  <si>
    <t>Cassio</t>
  </si>
  <si>
    <t>Vanderlei</t>
  </si>
  <si>
    <t>Claudio</t>
  </si>
  <si>
    <t>(11) 1111-1111</t>
  </si>
  <si>
    <t>(22) 2222-2222</t>
  </si>
  <si>
    <t>(33) 3333-3333</t>
  </si>
  <si>
    <t>(44) 4444-4444</t>
  </si>
  <si>
    <t>(55) 5555-5555</t>
  </si>
  <si>
    <t>123.456.789-00</t>
  </si>
  <si>
    <t>098.765.432.11</t>
  </si>
  <si>
    <t>019.283.746-55</t>
  </si>
  <si>
    <t>566.878.313-12</t>
  </si>
  <si>
    <t>777.777.777-77</t>
  </si>
  <si>
    <t>Deus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</si>
</sst>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/>
    <xf numFmtId="0" fontId="1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/>
      </font>
      <fill>
        <patternFill>
          <bgColor theme="7" tint="0.59996337778862885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325148</xdr:colOff>
      <xdr:row>0</xdr:row>
      <xdr:rowOff>51289</xdr:rowOff>
    </xdr:from>
    <xdr:to>
      <xdr:col>7</xdr:col>
      <xdr:colOff>432289</xdr:colOff>
      <xdr:row>1</xdr:row>
      <xdr:rowOff>161193</xdr:rowOff>
    </xdr:to>
    <xdr:sp macro="[0]!calcularMed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93AAEF-C468-4690-A7BF-CFE8B2538988}"/>
            </a:ext>
          </a:extLst>
        </xdr:cNvPr>
        <xdr:cNvSpPr/>
      </xdr:nvSpPr>
      <xdr:spPr>
        <a:xfrm>
          <a:off x="4479513" y="51289"/>
          <a:ext cx="1323411" cy="3077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Calcular média</a:t>
          </a:r>
        </a:p>
      </xdr:txBody>
    </xdr:sp>
    <xdr:clientData/>
  </xdr:twoCellAnchor>
  <xdr:twoCellAnchor>
    <xdr:from>
      <xdr:col>5</xdr:col>
      <xdr:colOff>329712</xdr:colOff>
      <xdr:row>2</xdr:row>
      <xdr:rowOff>29310</xdr:rowOff>
    </xdr:from>
    <xdr:to>
      <xdr:col>7</xdr:col>
      <xdr:colOff>439616</xdr:colOff>
      <xdr:row>3</xdr:row>
      <xdr:rowOff>146541</xdr:rowOff>
    </xdr:to>
    <xdr:sp macro="[0]!calcularSitu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866CE5-6D3E-4F06-B2DA-AE6DD8051723}"/>
            </a:ext>
          </a:extLst>
        </xdr:cNvPr>
        <xdr:cNvSpPr/>
      </xdr:nvSpPr>
      <xdr:spPr>
        <a:xfrm>
          <a:off x="4484077" y="424964"/>
          <a:ext cx="1326174" cy="31505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Calcular situação</a:t>
          </a:r>
        </a:p>
      </xdr:txBody>
    </xdr:sp>
    <xdr:clientData/>
  </xdr:twoCellAnchor>
  <xdr:twoCellAnchor>
    <xdr:from>
      <xdr:col>5</xdr:col>
      <xdr:colOff>337039</xdr:colOff>
      <xdr:row>4</xdr:row>
      <xdr:rowOff>43961</xdr:rowOff>
    </xdr:from>
    <xdr:to>
      <xdr:col>7</xdr:col>
      <xdr:colOff>432288</xdr:colOff>
      <xdr:row>5</xdr:row>
      <xdr:rowOff>167262</xdr:rowOff>
    </xdr:to>
    <xdr:sp macro="[0]!maiorMedi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94D7314-2B29-47C1-9E66-EF055AF798F3}"/>
            </a:ext>
          </a:extLst>
        </xdr:cNvPr>
        <xdr:cNvSpPr/>
      </xdr:nvSpPr>
      <xdr:spPr>
        <a:xfrm>
          <a:off x="4491404" y="835269"/>
          <a:ext cx="1311519" cy="32112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Verificar maior média</a:t>
          </a:r>
        </a:p>
      </xdr:txBody>
    </xdr:sp>
    <xdr:clientData/>
  </xdr:twoCellAnchor>
  <xdr:twoCellAnchor>
    <xdr:from>
      <xdr:col>5</xdr:col>
      <xdr:colOff>326530</xdr:colOff>
      <xdr:row>6</xdr:row>
      <xdr:rowOff>73270</xdr:rowOff>
    </xdr:from>
    <xdr:to>
      <xdr:col>7</xdr:col>
      <xdr:colOff>439615</xdr:colOff>
      <xdr:row>7</xdr:row>
      <xdr:rowOff>180202</xdr:rowOff>
    </xdr:to>
    <xdr:sp macro="[0]!menorMedi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044D919-358B-4791-9488-3B55C8986364}"/>
            </a:ext>
          </a:extLst>
        </xdr:cNvPr>
        <xdr:cNvSpPr/>
      </xdr:nvSpPr>
      <xdr:spPr>
        <a:xfrm>
          <a:off x="4480895" y="1260232"/>
          <a:ext cx="1329355" cy="30475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Verificar menor média</a:t>
          </a:r>
        </a:p>
      </xdr:txBody>
    </xdr:sp>
    <xdr:clientData/>
  </xdr:twoCellAnchor>
  <xdr:twoCellAnchor>
    <xdr:from>
      <xdr:col>2</xdr:col>
      <xdr:colOff>578618</xdr:colOff>
      <xdr:row>6</xdr:row>
      <xdr:rowOff>80594</xdr:rowOff>
    </xdr:from>
    <xdr:to>
      <xdr:col>4</xdr:col>
      <xdr:colOff>696058</xdr:colOff>
      <xdr:row>7</xdr:row>
      <xdr:rowOff>190499</xdr:rowOff>
    </xdr:to>
    <xdr:sp macro="[0]!totalAprova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15973F1-CA78-4F92-9BCA-B63F08F1B151}"/>
            </a:ext>
          </a:extLst>
        </xdr:cNvPr>
        <xdr:cNvSpPr/>
      </xdr:nvSpPr>
      <xdr:spPr>
        <a:xfrm>
          <a:off x="2652137" y="1267556"/>
          <a:ext cx="1333709" cy="3077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Aprovados</a:t>
          </a:r>
        </a:p>
      </xdr:txBody>
    </xdr:sp>
    <xdr:clientData/>
  </xdr:twoCellAnchor>
  <xdr:twoCellAnchor>
    <xdr:from>
      <xdr:col>2</xdr:col>
      <xdr:colOff>587326</xdr:colOff>
      <xdr:row>8</xdr:row>
      <xdr:rowOff>102578</xdr:rowOff>
    </xdr:from>
    <xdr:to>
      <xdr:col>4</xdr:col>
      <xdr:colOff>696059</xdr:colOff>
      <xdr:row>10</xdr:row>
      <xdr:rowOff>1</xdr:rowOff>
    </xdr:to>
    <xdr:sp macro="[0]!totalReprovad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C446C61-00A6-470A-AB48-C02A95816216}"/>
            </a:ext>
          </a:extLst>
        </xdr:cNvPr>
        <xdr:cNvSpPr/>
      </xdr:nvSpPr>
      <xdr:spPr>
        <a:xfrm>
          <a:off x="2660845" y="1685193"/>
          <a:ext cx="1325002" cy="293077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Reprovados</a:t>
          </a:r>
          <a:endParaRPr lang="pt-BR" sz="7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585736</xdr:colOff>
      <xdr:row>10</xdr:row>
      <xdr:rowOff>87922</xdr:rowOff>
    </xdr:from>
    <xdr:to>
      <xdr:col>4</xdr:col>
      <xdr:colOff>696057</xdr:colOff>
      <xdr:row>12</xdr:row>
      <xdr:rowOff>7326</xdr:rowOff>
    </xdr:to>
    <xdr:sp macro="[0]!totalExam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73C61DD-71F3-4EC5-A8AE-E220E47C2815}"/>
            </a:ext>
          </a:extLst>
        </xdr:cNvPr>
        <xdr:cNvSpPr/>
      </xdr:nvSpPr>
      <xdr:spPr>
        <a:xfrm>
          <a:off x="2659255" y="2066191"/>
          <a:ext cx="1326590" cy="31505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Exame</a:t>
          </a:r>
          <a:endParaRPr lang="pt-BR" sz="7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38100</xdr:rowOff>
    </xdr:from>
    <xdr:to>
      <xdr:col>4</xdr:col>
      <xdr:colOff>314325</xdr:colOff>
      <xdr:row>0</xdr:row>
      <xdr:rowOff>323850</xdr:rowOff>
    </xdr:to>
    <xdr:sp macro="[0]!escreverBosch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66DE953-6A87-7613-CE6F-707B0153CF3E}"/>
            </a:ext>
          </a:extLst>
        </xdr:cNvPr>
        <xdr:cNvSpPr/>
      </xdr:nvSpPr>
      <xdr:spPr>
        <a:xfrm>
          <a:off x="2066925" y="38100"/>
          <a:ext cx="133350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escreverBosch</a:t>
          </a:r>
        </a:p>
      </xdr:txBody>
    </xdr:sp>
    <xdr:clientData/>
  </xdr:twoCellAnchor>
  <xdr:twoCellAnchor>
    <xdr:from>
      <xdr:col>2</xdr:col>
      <xdr:colOff>209550</xdr:colOff>
      <xdr:row>1</xdr:row>
      <xdr:rowOff>9525</xdr:rowOff>
    </xdr:from>
    <xdr:to>
      <xdr:col>4</xdr:col>
      <xdr:colOff>304800</xdr:colOff>
      <xdr:row>2</xdr:row>
      <xdr:rowOff>104775</xdr:rowOff>
    </xdr:to>
    <xdr:sp macro="[0]!intervaloDt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843D469-6872-43C1-9F24-6EA698C891BB}"/>
            </a:ext>
          </a:extLst>
        </xdr:cNvPr>
        <xdr:cNvSpPr/>
      </xdr:nvSpPr>
      <xdr:spPr>
        <a:xfrm>
          <a:off x="2076450" y="495300"/>
          <a:ext cx="131445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intervaloDta</a:t>
          </a:r>
        </a:p>
      </xdr:txBody>
    </xdr:sp>
    <xdr:clientData/>
  </xdr:twoCellAnchor>
  <xdr:twoCellAnchor>
    <xdr:from>
      <xdr:col>2</xdr:col>
      <xdr:colOff>209550</xdr:colOff>
      <xdr:row>3</xdr:row>
      <xdr:rowOff>28575</xdr:rowOff>
    </xdr:from>
    <xdr:to>
      <xdr:col>4</xdr:col>
      <xdr:colOff>276225</xdr:colOff>
      <xdr:row>4</xdr:row>
      <xdr:rowOff>66675</xdr:rowOff>
    </xdr:to>
    <xdr:sp macro="[0]!verificarCelul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BB81601-C96D-4418-B145-8A4ECB0901B0}"/>
            </a:ext>
          </a:extLst>
        </xdr:cNvPr>
        <xdr:cNvSpPr/>
      </xdr:nvSpPr>
      <xdr:spPr>
        <a:xfrm>
          <a:off x="2076450" y="952500"/>
          <a:ext cx="128587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verificarCelula</a:t>
          </a:r>
        </a:p>
      </xdr:txBody>
    </xdr:sp>
    <xdr:clientData/>
  </xdr:twoCellAnchor>
  <xdr:twoCellAnchor>
    <xdr:from>
      <xdr:col>2</xdr:col>
      <xdr:colOff>578618</xdr:colOff>
      <xdr:row>6</xdr:row>
      <xdr:rowOff>80594</xdr:rowOff>
    </xdr:from>
    <xdr:to>
      <xdr:col>4</xdr:col>
      <xdr:colOff>696058</xdr:colOff>
      <xdr:row>7</xdr:row>
      <xdr:rowOff>190499</xdr:rowOff>
    </xdr:to>
    <xdr:sp macro="[0]!totalAprovad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C6F0F76-BE11-48F6-80B3-35AF63B5BADA}"/>
            </a:ext>
          </a:extLst>
        </xdr:cNvPr>
        <xdr:cNvSpPr/>
      </xdr:nvSpPr>
      <xdr:spPr>
        <a:xfrm>
          <a:off x="2655068" y="1280744"/>
          <a:ext cx="1336640" cy="30993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Aprovados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6</xdr:row>
      <xdr:rowOff>28575</xdr:rowOff>
    </xdr:from>
    <xdr:to>
      <xdr:col>5</xdr:col>
      <xdr:colOff>447675</xdr:colOff>
      <xdr:row>7</xdr:row>
      <xdr:rowOff>142875</xdr:rowOff>
    </xdr:to>
    <xdr:sp macro="[0]!pesquisarValo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E4D8CE3-F120-A12B-A03F-6E10483E6FD8}"/>
            </a:ext>
          </a:extLst>
        </xdr:cNvPr>
        <xdr:cNvSpPr/>
      </xdr:nvSpPr>
      <xdr:spPr>
        <a:xfrm>
          <a:off x="2943225" y="1171575"/>
          <a:ext cx="10953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PesquisarValor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</xdr:row>
      <xdr:rowOff>9524</xdr:rowOff>
    </xdr:from>
    <xdr:to>
      <xdr:col>7</xdr:col>
      <xdr:colOff>600075</xdr:colOff>
      <xdr:row>3</xdr:row>
      <xdr:rowOff>190499</xdr:rowOff>
    </xdr:to>
    <xdr:sp macro="[0]!copiarValorInterva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1EE872-27D4-2558-EAA3-434D6752CE08}"/>
            </a:ext>
          </a:extLst>
        </xdr:cNvPr>
        <xdr:cNvSpPr/>
      </xdr:nvSpPr>
      <xdr:spPr>
        <a:xfrm>
          <a:off x="4162425" y="390524"/>
          <a:ext cx="18097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Copiar para "Controle"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DC0831-03CB-4E61-9C96-C037E2FD29D3}" name="Tabela1" displayName="Tabela1" ref="A1:E6" totalsRowShown="0" headerRowDxfId="17" dataDxfId="16">
  <tableColumns count="5">
    <tableColumn id="1" xr3:uid="{B6F24726-D592-4CCC-8D72-526573200FFD}" name="Aluno" dataDxfId="15"/>
    <tableColumn id="2" xr3:uid="{B9490637-AE2B-45CD-9287-054549D72480}" name="Nota 1" dataDxfId="14"/>
    <tableColumn id="3" xr3:uid="{2ABFC661-E235-4A64-BCB2-58A62523FA79}" name="Nota 2" dataDxfId="13"/>
    <tableColumn id="4" xr3:uid="{7ED497EB-04C6-4F70-977C-4F1B226FB200}" name="Média " dataDxfId="12">
      <calculatedColumnFormula>AVERAGE(B2,C2)</calculatedColumnFormula>
    </tableColumn>
    <tableColumn id="5" xr3:uid="{52FF8645-A6B3-434E-8BDA-3E5E0C2BB95C}" name="Situação" dataDxfId="11">
      <calculatedColumnFormula>IF(D2&gt;7,"Aprovado",IF(D2&gt;=5,"Exame","Reprovado"))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4763F8-79DC-4812-8531-B316FCBFB8E6}" name="Tabela2" displayName="Tabela2" ref="B2:D7" totalsRowShown="0">
  <autoFilter ref="B2:D7" xr:uid="{974763F8-79DC-4812-8531-B316FCBFB8E6}"/>
  <tableColumns count="3">
    <tableColumn id="1" xr3:uid="{5E48F4AF-2160-4D1D-BD95-507103E11E4C}" name="Nome"/>
    <tableColumn id="2" xr3:uid="{57580750-7D0F-4B8F-8154-4E022016A430}" name="Telefone"/>
    <tableColumn id="3" xr3:uid="{6FC283C0-AA3F-4747-B782-E2C84E5EF7BB}" name="CP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50811D-38F5-4F1E-9A97-86A612CC4CD2}" name="Tabela3" displayName="Tabela3" ref="B2:D7" totalsRowShown="0" headerRowDxfId="1" dataDxfId="0" headerRowBorderDxfId="9" tableBorderDxfId="10" totalsRowBorderDxfId="8">
  <autoFilter ref="B2:D7" xr:uid="{7B50811D-38F5-4F1E-9A97-86A612CC4CD2}"/>
  <tableColumns count="3">
    <tableColumn id="1" xr3:uid="{FA24DD14-AC53-4151-9AF2-D84DEEF78524}" name="Nome" dataDxfId="4"/>
    <tableColumn id="2" xr3:uid="{490726A3-5252-48D4-A94F-F55065F9F693}" name="Telefone" dataDxfId="3"/>
    <tableColumn id="3" xr3:uid="{6D9CAF07-0759-4F32-A9BF-0E44190E9A86}" name="CPF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E8BB0-141C-4733-AB14-9A3E01502568}">
  <sheetPr codeName="Planilha1"/>
  <dimension ref="A1:I18"/>
  <sheetViews>
    <sheetView showGridLines="0" zoomScale="130" zoomScaleNormal="130" workbookViewId="0">
      <selection activeCell="H15" sqref="H15"/>
    </sheetView>
  </sheetViews>
  <sheetFormatPr defaultRowHeight="15" x14ac:dyDescent="0.25"/>
  <cols>
    <col min="1" max="1" width="22" customWidth="1"/>
    <col min="5" max="5" width="13" customWidth="1"/>
  </cols>
  <sheetData>
    <row r="1" spans="1:9" ht="15.7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/>
      <c r="G1" s="3"/>
      <c r="H1" s="3"/>
      <c r="I1" s="3"/>
    </row>
    <row r="2" spans="1:9" ht="15.75" x14ac:dyDescent="0.25">
      <c r="A2" s="1" t="s">
        <v>5</v>
      </c>
      <c r="B2" s="2">
        <v>6.9</v>
      </c>
      <c r="C2" s="2">
        <v>7.9</v>
      </c>
      <c r="D2" s="2">
        <f t="shared" ref="D2:D6" si="0">AVERAGE(B2,C2)</f>
        <v>7.4</v>
      </c>
      <c r="E2" s="2" t="str">
        <f t="shared" ref="E2:E6" si="1">IF(D2&gt;7,"Aprovado",IF(D2&gt;=5,"Exame","Reprovado"))</f>
        <v>Aprovado</v>
      </c>
      <c r="F2" s="3"/>
      <c r="G2" s="3"/>
      <c r="H2" s="3"/>
      <c r="I2" s="3"/>
    </row>
    <row r="3" spans="1:9" ht="15.75" x14ac:dyDescent="0.25">
      <c r="A3" s="1" t="s">
        <v>6</v>
      </c>
      <c r="B3" s="2">
        <v>5.6</v>
      </c>
      <c r="C3" s="2">
        <v>2.2999999999999998</v>
      </c>
      <c r="D3" s="2">
        <f t="shared" si="0"/>
        <v>3.9499999999999997</v>
      </c>
      <c r="E3" s="2" t="str">
        <f t="shared" si="1"/>
        <v>Reprovado</v>
      </c>
      <c r="F3" s="3"/>
      <c r="G3" s="3"/>
      <c r="H3" s="3"/>
      <c r="I3" s="3"/>
    </row>
    <row r="4" spans="1:9" ht="15.75" x14ac:dyDescent="0.25">
      <c r="A4" s="1" t="s">
        <v>7</v>
      </c>
      <c r="B4" s="2">
        <v>3</v>
      </c>
      <c r="C4" s="2">
        <v>7.5</v>
      </c>
      <c r="D4" s="2">
        <f t="shared" si="0"/>
        <v>5.25</v>
      </c>
      <c r="E4" s="2" t="str">
        <f t="shared" si="1"/>
        <v>Exame</v>
      </c>
      <c r="F4" s="3"/>
      <c r="G4" s="3"/>
      <c r="H4" s="3"/>
      <c r="I4" s="3"/>
    </row>
    <row r="5" spans="1:9" ht="15.75" x14ac:dyDescent="0.25">
      <c r="A5" s="1" t="s">
        <v>8</v>
      </c>
      <c r="B5" s="2">
        <v>10</v>
      </c>
      <c r="C5" s="2">
        <v>10</v>
      </c>
      <c r="D5" s="2">
        <f t="shared" si="0"/>
        <v>10</v>
      </c>
      <c r="E5" s="2" t="str">
        <f t="shared" si="1"/>
        <v>Aprovado</v>
      </c>
      <c r="F5" s="3"/>
      <c r="G5" s="3"/>
      <c r="H5" s="3"/>
      <c r="I5" s="3"/>
    </row>
    <row r="6" spans="1:9" ht="15.75" x14ac:dyDescent="0.25">
      <c r="A6" s="1" t="s">
        <v>9</v>
      </c>
      <c r="B6" s="2">
        <v>3</v>
      </c>
      <c r="C6" s="2">
        <v>3</v>
      </c>
      <c r="D6" s="2">
        <f t="shared" si="0"/>
        <v>3</v>
      </c>
      <c r="E6" s="2" t="str">
        <f t="shared" si="1"/>
        <v>Reprovado</v>
      </c>
      <c r="F6" s="3"/>
      <c r="G6" s="3"/>
      <c r="H6" s="3"/>
      <c r="I6" s="3"/>
    </row>
    <row r="7" spans="1:9" ht="15.75" x14ac:dyDescent="0.25">
      <c r="A7" s="3"/>
      <c r="B7" s="3"/>
      <c r="C7" s="3"/>
      <c r="D7" s="3"/>
      <c r="E7" s="3"/>
      <c r="F7" s="3"/>
      <c r="G7" s="3"/>
      <c r="H7" s="3"/>
      <c r="I7" s="3"/>
    </row>
    <row r="8" spans="1:9" ht="15.75" x14ac:dyDescent="0.25">
      <c r="A8" s="4" t="s">
        <v>10</v>
      </c>
      <c r="B8" s="5">
        <f>LARGE(Tabela1[[Média ]],1)</f>
        <v>10</v>
      </c>
      <c r="C8" s="6"/>
      <c r="D8" s="6"/>
      <c r="E8" s="6"/>
      <c r="F8" s="3"/>
      <c r="G8" s="3"/>
      <c r="H8" s="3"/>
      <c r="I8" s="3"/>
    </row>
    <row r="9" spans="1:9" ht="15.75" x14ac:dyDescent="0.25">
      <c r="A9" s="7" t="s">
        <v>11</v>
      </c>
      <c r="B9" s="8">
        <f>SMALL(Tabela1[[Média ]],1)</f>
        <v>3</v>
      </c>
      <c r="C9" s="9"/>
      <c r="D9" s="9"/>
      <c r="E9" s="9"/>
      <c r="F9" s="3"/>
      <c r="G9" s="3"/>
      <c r="H9" s="3"/>
      <c r="I9" s="3"/>
    </row>
    <row r="10" spans="1:9" ht="15.75" x14ac:dyDescent="0.25">
      <c r="A10" s="4" t="s">
        <v>12</v>
      </c>
      <c r="B10" s="5">
        <f>COUNTIF(Tabela1[Situação],"Aprovado")</f>
        <v>2</v>
      </c>
      <c r="C10" s="6"/>
      <c r="D10" s="6"/>
      <c r="E10" s="6"/>
      <c r="F10" s="3"/>
      <c r="G10" s="3"/>
      <c r="H10" s="3"/>
      <c r="I10" s="3"/>
    </row>
    <row r="11" spans="1:9" ht="15.75" x14ac:dyDescent="0.25">
      <c r="A11" s="7" t="s">
        <v>13</v>
      </c>
      <c r="B11" s="8">
        <f>COUNTIF(Tabela1[Situação],"Reprovado")</f>
        <v>2</v>
      </c>
      <c r="C11" s="9"/>
      <c r="D11" s="9"/>
      <c r="E11" s="9"/>
      <c r="F11" s="3"/>
      <c r="G11" s="3"/>
      <c r="H11" s="3"/>
      <c r="I11" s="3"/>
    </row>
    <row r="12" spans="1:9" ht="15.75" x14ac:dyDescent="0.25">
      <c r="A12" s="4" t="s">
        <v>14</v>
      </c>
      <c r="B12" s="5">
        <f>COUNTIF(Tabela1[Situação],"Exame")</f>
        <v>1</v>
      </c>
      <c r="C12" s="6"/>
      <c r="D12" s="6"/>
      <c r="E12" s="6"/>
      <c r="F12" s="3"/>
      <c r="G12" s="3"/>
      <c r="H12" s="3"/>
      <c r="I12" s="3"/>
    </row>
    <row r="13" spans="1:9" ht="15.75" x14ac:dyDescent="0.25">
      <c r="A13" s="3"/>
      <c r="B13" s="3"/>
      <c r="C13" s="3"/>
      <c r="D13" s="3"/>
      <c r="E13" s="3"/>
      <c r="F13" s="3"/>
      <c r="G13" s="3"/>
      <c r="H13" s="3"/>
      <c r="I13" s="3"/>
    </row>
    <row r="14" spans="1:9" ht="15.75" x14ac:dyDescent="0.25">
      <c r="A14" s="3"/>
      <c r="B14" s="3"/>
      <c r="C14" s="3"/>
      <c r="D14" s="3"/>
      <c r="E14" s="3"/>
      <c r="F14" s="3"/>
      <c r="G14" s="3"/>
      <c r="H14" s="3"/>
      <c r="I14" s="3"/>
    </row>
    <row r="15" spans="1:9" ht="15.75" x14ac:dyDescent="0.25">
      <c r="A15" s="3"/>
      <c r="B15" s="3"/>
      <c r="C15" s="3"/>
      <c r="D15" s="3"/>
      <c r="E15" s="3"/>
      <c r="F15" s="3"/>
      <c r="G15" s="3"/>
      <c r="H15" s="3"/>
      <c r="I15" s="3"/>
    </row>
    <row r="16" spans="1:9" ht="15.75" x14ac:dyDescent="0.25">
      <c r="A16" s="3"/>
      <c r="B16" s="3"/>
      <c r="C16" s="3"/>
      <c r="D16" s="3"/>
      <c r="E16" s="3"/>
      <c r="F16" s="3"/>
      <c r="G16" s="3"/>
      <c r="H16" s="3"/>
      <c r="I16" s="3"/>
    </row>
    <row r="17" spans="1:9" ht="15.75" x14ac:dyDescent="0.25">
      <c r="A17" s="3"/>
      <c r="B17" s="3"/>
      <c r="C17" s="3"/>
      <c r="D17" s="3"/>
      <c r="E17" s="3"/>
      <c r="F17" s="3"/>
      <c r="G17" s="3"/>
      <c r="H17" s="3"/>
      <c r="I17" s="3"/>
    </row>
    <row r="18" spans="1:9" ht="15.75" x14ac:dyDescent="0.25">
      <c r="A18" s="3"/>
      <c r="B18" s="3"/>
      <c r="C18" s="3"/>
      <c r="D18" s="3"/>
      <c r="E18" s="3"/>
      <c r="F18" s="3"/>
      <c r="G18" s="3"/>
      <c r="H18" s="3"/>
      <c r="I18" s="3"/>
    </row>
  </sheetData>
  <conditionalFormatting sqref="E2:E6">
    <cfRule type="containsText" dxfId="7" priority="1" operator="containsText" text="Exame">
      <formula>NOT(ISERROR(SEARCH("Exame",E2)))</formula>
    </cfRule>
    <cfRule type="containsText" dxfId="6" priority="2" operator="containsText" text="Aprovado">
      <formula>NOT(ISERROR(SEARCH("Aprovado",E2)))</formula>
    </cfRule>
    <cfRule type="containsText" dxfId="5" priority="3" operator="containsText" text="Reprovado">
      <formula>NOT(ISERROR(SEARCH("Reprovado",E2)))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AF61B-49D0-4FAF-9A26-71789D621A99}">
  <sheetPr codeName="Planilha2"/>
  <dimension ref="A1:D7"/>
  <sheetViews>
    <sheetView workbookViewId="0">
      <selection activeCell="I7" sqref="I7"/>
    </sheetView>
  </sheetViews>
  <sheetFormatPr defaultRowHeight="15" x14ac:dyDescent="0.25"/>
  <cols>
    <col min="1" max="2" width="14" customWidth="1"/>
  </cols>
  <sheetData>
    <row r="1" spans="1:4" ht="38.25" customHeight="1" x14ac:dyDescent="0.25">
      <c r="A1" s="10" t="s">
        <v>17</v>
      </c>
      <c r="B1" s="11" t="s">
        <v>19</v>
      </c>
      <c r="C1" s="10"/>
    </row>
    <row r="2" spans="1:4" x14ac:dyDescent="0.25">
      <c r="A2" s="10"/>
      <c r="B2" s="10"/>
      <c r="C2" s="10"/>
    </row>
    <row r="3" spans="1:4" ht="19.5" customHeight="1" x14ac:dyDescent="0.25">
      <c r="A3" t="s">
        <v>18</v>
      </c>
      <c r="B3" s="2">
        <v>5.6</v>
      </c>
      <c r="C3" s="2">
        <v>2.2999999999999998</v>
      </c>
      <c r="D3" s="2">
        <f t="shared" ref="D3:D6" si="0">AVERAGE(B3,C3)</f>
        <v>3.9499999999999997</v>
      </c>
    </row>
    <row r="4" spans="1:4" ht="19.5" customHeight="1" x14ac:dyDescent="0.25">
      <c r="A4" t="s">
        <v>18</v>
      </c>
      <c r="B4" s="2">
        <v>3</v>
      </c>
      <c r="C4" s="2">
        <v>7.5</v>
      </c>
      <c r="D4" s="2">
        <f t="shared" si="0"/>
        <v>5.25</v>
      </c>
    </row>
    <row r="5" spans="1:4" ht="18.75" customHeight="1" x14ac:dyDescent="0.25">
      <c r="A5" t="s">
        <v>18</v>
      </c>
      <c r="B5" s="2">
        <v>10</v>
      </c>
      <c r="C5" s="2">
        <v>10</v>
      </c>
      <c r="D5" s="2">
        <f t="shared" si="0"/>
        <v>10</v>
      </c>
    </row>
    <row r="6" spans="1:4" ht="15.75" x14ac:dyDescent="0.25">
      <c r="B6" s="2">
        <v>3</v>
      </c>
      <c r="C6" s="2">
        <v>3</v>
      </c>
      <c r="D6" s="2">
        <f t="shared" si="0"/>
        <v>3</v>
      </c>
    </row>
    <row r="7" spans="1:4" ht="15.75" x14ac:dyDescent="0.25">
      <c r="B7" s="3"/>
      <c r="C7" s="3"/>
      <c r="D7" s="3"/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72155-7EB5-4431-B237-ECCE23AF47AF}">
  <sheetPr codeName="Planilha3"/>
  <dimension ref="A1:J8"/>
  <sheetViews>
    <sheetView showGridLines="0" workbookViewId="0">
      <selection activeCell="I13" sqref="I13"/>
    </sheetView>
  </sheetViews>
  <sheetFormatPr defaultRowHeight="15" x14ac:dyDescent="0.25"/>
  <cols>
    <col min="1" max="4" width="10.7109375" customWidth="1"/>
    <col min="5" max="5" width="11" customWidth="1"/>
  </cols>
  <sheetData>
    <row r="1" spans="1:10" x14ac:dyDescent="0.25">
      <c r="A1" s="13">
        <f ca="1">RANDBETWEEN(1,100)</f>
        <v>93</v>
      </c>
      <c r="B1" s="13">
        <f t="shared" ref="B1:E5" ca="1" si="0">RANDBETWEEN(1,100)</f>
        <v>30</v>
      </c>
      <c r="C1" s="13">
        <f t="shared" ca="1" si="0"/>
        <v>87</v>
      </c>
      <c r="D1" s="13">
        <f t="shared" ca="1" si="0"/>
        <v>58</v>
      </c>
      <c r="E1" s="13">
        <f t="shared" ca="1" si="0"/>
        <v>91</v>
      </c>
    </row>
    <row r="2" spans="1:10" x14ac:dyDescent="0.25">
      <c r="A2" s="13">
        <f t="shared" ref="A2:A5" ca="1" si="1">RANDBETWEEN(1,100)</f>
        <v>73</v>
      </c>
      <c r="B2" s="13">
        <f t="shared" ca="1" si="0"/>
        <v>15</v>
      </c>
      <c r="C2" s="13">
        <f t="shared" ca="1" si="0"/>
        <v>83</v>
      </c>
      <c r="D2" s="13">
        <f t="shared" ca="1" si="0"/>
        <v>45</v>
      </c>
      <c r="E2" s="13">
        <f t="shared" ca="1" si="0"/>
        <v>33</v>
      </c>
      <c r="G2" s="17" t="s">
        <v>21</v>
      </c>
      <c r="H2" s="17"/>
      <c r="I2" s="17"/>
      <c r="J2" s="17"/>
    </row>
    <row r="3" spans="1:10" x14ac:dyDescent="0.25">
      <c r="A3" s="13">
        <f t="shared" ca="1" si="1"/>
        <v>12</v>
      </c>
      <c r="B3" s="13">
        <f t="shared" ca="1" si="0"/>
        <v>82</v>
      </c>
      <c r="C3" s="13">
        <f t="shared" ca="1" si="0"/>
        <v>10</v>
      </c>
      <c r="D3" s="13">
        <f t="shared" ca="1" si="0"/>
        <v>4</v>
      </c>
      <c r="E3" s="13">
        <f t="shared" ca="1" si="0"/>
        <v>67</v>
      </c>
      <c r="F3" s="12"/>
    </row>
    <row r="4" spans="1:10" x14ac:dyDescent="0.25">
      <c r="A4" s="13">
        <f t="shared" ca="1" si="1"/>
        <v>30</v>
      </c>
      <c r="B4" s="13">
        <f t="shared" ca="1" si="0"/>
        <v>6</v>
      </c>
      <c r="C4" s="13">
        <f t="shared" ca="1" si="0"/>
        <v>28</v>
      </c>
      <c r="D4" s="13">
        <f t="shared" ca="1" si="0"/>
        <v>76</v>
      </c>
      <c r="E4" s="13">
        <f t="shared" ca="1" si="0"/>
        <v>26</v>
      </c>
    </row>
    <row r="5" spans="1:10" x14ac:dyDescent="0.25">
      <c r="A5" s="13">
        <f t="shared" ca="1" si="1"/>
        <v>87</v>
      </c>
      <c r="B5" s="13">
        <f t="shared" ca="1" si="0"/>
        <v>2</v>
      </c>
      <c r="C5" s="13">
        <f t="shared" ca="1" si="0"/>
        <v>20</v>
      </c>
      <c r="D5" s="13">
        <f t="shared" ca="1" si="0"/>
        <v>4</v>
      </c>
      <c r="E5" s="13">
        <f t="shared" ca="1" si="0"/>
        <v>98</v>
      </c>
      <c r="F5" s="12"/>
    </row>
    <row r="7" spans="1:10" x14ac:dyDescent="0.25">
      <c r="A7" s="14" t="s">
        <v>15</v>
      </c>
      <c r="B7" s="15"/>
      <c r="C7" s="16">
        <v>3</v>
      </c>
      <c r="D7" s="16"/>
    </row>
    <row r="8" spans="1:10" x14ac:dyDescent="0.25">
      <c r="A8" s="14" t="s">
        <v>16</v>
      </c>
      <c r="B8" s="15"/>
      <c r="C8" s="16" t="s">
        <v>20</v>
      </c>
      <c r="D8" s="16"/>
    </row>
  </sheetData>
  <mergeCells count="5">
    <mergeCell ref="A8:B8"/>
    <mergeCell ref="A7:B7"/>
    <mergeCell ref="C8:D8"/>
    <mergeCell ref="C7:D7"/>
    <mergeCell ref="G2:J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5CE6B-E2D1-4E12-A4CE-1196AB52E4CB}">
  <sheetPr codeName="Planilha4"/>
  <dimension ref="B2:D7"/>
  <sheetViews>
    <sheetView workbookViewId="0">
      <selection activeCell="H10" sqref="H10"/>
    </sheetView>
  </sheetViews>
  <sheetFormatPr defaultRowHeight="15" x14ac:dyDescent="0.25"/>
  <cols>
    <col min="2" max="2" width="13.5703125" customWidth="1"/>
    <col min="3" max="3" width="16.140625" customWidth="1"/>
    <col min="4" max="4" width="14.28515625" customWidth="1"/>
  </cols>
  <sheetData>
    <row r="2" spans="2:4" x14ac:dyDescent="0.25">
      <c r="B2" t="s">
        <v>22</v>
      </c>
      <c r="C2" t="s">
        <v>23</v>
      </c>
      <c r="D2" t="s">
        <v>24</v>
      </c>
    </row>
    <row r="3" spans="2:4" x14ac:dyDescent="0.25">
      <c r="B3" t="s">
        <v>25</v>
      </c>
      <c r="C3" t="s">
        <v>29</v>
      </c>
      <c r="D3" t="s">
        <v>34</v>
      </c>
    </row>
    <row r="4" spans="2:4" x14ac:dyDescent="0.25">
      <c r="B4" t="s">
        <v>26</v>
      </c>
      <c r="C4" t="s">
        <v>30</v>
      </c>
      <c r="D4" t="s">
        <v>35</v>
      </c>
    </row>
    <row r="5" spans="2:4" x14ac:dyDescent="0.25">
      <c r="B5" t="s">
        <v>27</v>
      </c>
      <c r="C5" t="s">
        <v>31</v>
      </c>
      <c r="D5" t="s">
        <v>36</v>
      </c>
    </row>
    <row r="6" spans="2:4" x14ac:dyDescent="0.25">
      <c r="B6" t="s">
        <v>28</v>
      </c>
      <c r="C6" t="s">
        <v>32</v>
      </c>
      <c r="D6" t="s">
        <v>37</v>
      </c>
    </row>
    <row r="7" spans="2:4" x14ac:dyDescent="0.25">
      <c r="B7" t="s">
        <v>39</v>
      </c>
      <c r="C7" t="s">
        <v>33</v>
      </c>
      <c r="D7" t="s">
        <v>38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20D58-CD0C-4D8B-8581-F282F0E9332B}">
  <sheetPr codeName="Planilha5"/>
  <dimension ref="B2:D5"/>
  <sheetViews>
    <sheetView tabSelected="1" workbookViewId="0">
      <selection activeCell="B3" sqref="B3:D7"/>
    </sheetView>
  </sheetViews>
  <sheetFormatPr defaultRowHeight="15" x14ac:dyDescent="0.25"/>
  <cols>
    <col min="2" max="2" width="13" customWidth="1"/>
    <col min="3" max="3" width="14.7109375" customWidth="1"/>
    <col min="4" max="4" width="15.28515625" customWidth="1"/>
  </cols>
  <sheetData>
    <row r="2" spans="2:4" x14ac:dyDescent="0.25">
      <c r="B2" s="18" t="s">
        <v>22</v>
      </c>
      <c r="C2" s="18" t="s">
        <v>23</v>
      </c>
      <c r="D2" s="18" t="s">
        <v>24</v>
      </c>
    </row>
    <row r="5" spans="2:4" ht="17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2D1EB1B3482C40B1AFC58B0175D1A0" ma:contentTypeVersion="5" ma:contentTypeDescription="Create a new document." ma:contentTypeScope="" ma:versionID="ba31dbb62135fb3bde3a987aaaeb9375">
  <xsd:schema xmlns:xsd="http://www.w3.org/2001/XMLSchema" xmlns:xs="http://www.w3.org/2001/XMLSchema" xmlns:p="http://schemas.microsoft.com/office/2006/metadata/properties" xmlns:ns2="0c618498-990a-4b05-8552-e4df62c66f94" xmlns:ns3="fa93b4d8-2471-4315-a114-0242615c1180" targetNamespace="http://schemas.microsoft.com/office/2006/metadata/properties" ma:root="true" ma:fieldsID="4381cf7f735b83d254c1077e7675928f" ns2:_="" ns3:_="">
    <xsd:import namespace="0c618498-990a-4b05-8552-e4df62c66f94"/>
    <xsd:import namespace="fa93b4d8-2471-4315-a114-0242615c1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618498-990a-4b05-8552-e4df62c66f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93b4d8-2471-4315-a114-0242615c1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C3152A-6C27-4502-A6DE-EBA1C9AA4A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618498-990a-4b05-8552-e4df62c66f94"/>
    <ds:schemaRef ds:uri="fa93b4d8-2471-4315-a114-0242615c11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4DB7A2-AF9B-4EDD-9F40-FBDCD135914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8441046-5993-4989-88B0-014ACB801E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Boletim escolar</vt:lpstr>
      <vt:lpstr>Macros codificadas</vt:lpstr>
      <vt:lpstr>Pesquisa</vt:lpstr>
      <vt:lpstr>Dados</vt:lpstr>
      <vt:lpstr>Controle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MARLOW RODRIGO BECKER DICKEL</dc:creator>
  <cp:keywords/>
  <dc:description/>
  <cp:lastModifiedBy>Reis Gabriel (SO/BUD3-ETS)</cp:lastModifiedBy>
  <cp:revision/>
  <dcterms:created xsi:type="dcterms:W3CDTF">2023-10-08T18:26:13Z</dcterms:created>
  <dcterms:modified xsi:type="dcterms:W3CDTF">2023-10-11T13:29:12Z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0x0101001C2D1EB1B3482C40B1AFC58B0175D1A0</vt:lpwstr>
  </property>
</Properties>
</file>